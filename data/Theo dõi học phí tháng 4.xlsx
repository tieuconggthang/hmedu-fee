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ersonal\hmedu\"/>
    </mc:Choice>
  </mc:AlternateContent>
  <xr:revisionPtr revIDLastSave="0" documentId="13_ncr:1_{47040377-4CF6-4F04-9181-6200314208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S THCS+THPT" sheetId="1" r:id="rId1"/>
  </sheets>
  <definedNames>
    <definedName name="_xlnm._FilterDatabase" localSheetId="0" hidden="1">'DS THCS+THPT'!$A$3:$X$11</definedName>
  </definedNames>
  <calcPr calcId="181029"/>
</workbook>
</file>

<file path=xl/calcChain.xml><?xml version="1.0" encoding="utf-8"?>
<calcChain xmlns="http://schemas.openxmlformats.org/spreadsheetml/2006/main">
  <c r="P11" i="1" l="1"/>
  <c r="R11" i="1" s="1"/>
  <c r="T11" i="1" s="1"/>
  <c r="G11" i="1"/>
  <c r="P10" i="1"/>
  <c r="R10" i="1" s="1"/>
  <c r="T10" i="1" s="1"/>
  <c r="G10" i="1"/>
  <c r="P9" i="1"/>
  <c r="R9" i="1" s="1"/>
  <c r="T9" i="1" s="1"/>
  <c r="G9" i="1"/>
  <c r="P8" i="1"/>
  <c r="R8" i="1" s="1"/>
  <c r="T8" i="1" s="1"/>
  <c r="G8" i="1"/>
  <c r="P7" i="1"/>
  <c r="R7" i="1" s="1"/>
  <c r="T7" i="1" s="1"/>
  <c r="G7" i="1"/>
  <c r="P6" i="1"/>
  <c r="R6" i="1" s="1"/>
  <c r="T6" i="1" s="1"/>
  <c r="G6" i="1"/>
  <c r="P5" i="1"/>
  <c r="R5" i="1" s="1"/>
  <c r="T5" i="1" s="1"/>
  <c r="G5" i="1"/>
  <c r="P4" i="1"/>
  <c r="R4" i="1" s="1"/>
  <c r="T4" i="1" s="1"/>
  <c r="G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9" authorId="0" shapeId="0" xr:uid="{00000000-0006-0000-0000-000001000000}">
      <text>
        <r>
          <rPr>
            <sz val="10"/>
            <color rgb="FF000000"/>
            <rFont val="Arial"/>
            <scheme val="minor"/>
          </rPr>
          <t>đăng kí học toán cô dương 31/3</t>
        </r>
      </text>
    </comment>
    <comment ref="B10" authorId="0" shapeId="0" xr:uid="{00000000-0006-0000-0000-000002000000}">
      <text>
        <r>
          <rPr>
            <sz val="10"/>
            <color rgb="FF000000"/>
            <rFont val="Arial"/>
            <scheme val="minor"/>
          </rPr>
          <t>ko nghe</t>
        </r>
      </text>
    </comment>
  </commentList>
</comments>
</file>

<file path=xl/sharedStrings.xml><?xml version="1.0" encoding="utf-8"?>
<sst xmlns="http://schemas.openxmlformats.org/spreadsheetml/2006/main" count="111" uniqueCount="48">
  <si>
    <t>Tháng</t>
  </si>
  <si>
    <t>STT</t>
  </si>
  <si>
    <t>Họ tên học sinh</t>
  </si>
  <si>
    <t xml:space="preserve">PH </t>
  </si>
  <si>
    <t>SĐT</t>
  </si>
  <si>
    <t>Năm sinh</t>
  </si>
  <si>
    <t>Lớp</t>
  </si>
  <si>
    <t>Nội dung chuyển tiền</t>
  </si>
  <si>
    <t>Toán</t>
  </si>
  <si>
    <t xml:space="preserve">Văn </t>
  </si>
  <si>
    <t>Anh</t>
  </si>
  <si>
    <t>KHTN</t>
  </si>
  <si>
    <t>Dự kiến phải nộp kì này</t>
  </si>
  <si>
    <t>Thừa/Thiếu tháng trước</t>
  </si>
  <si>
    <t>Tổng dự kiến phải nộp</t>
  </si>
  <si>
    <t>Đã nộp</t>
  </si>
  <si>
    <t>Thừa thiếu</t>
  </si>
  <si>
    <t>Ngày chuyển tiền</t>
  </si>
  <si>
    <t>Tên tài khoản</t>
  </si>
  <si>
    <t>Số tài khoản</t>
  </si>
  <si>
    <t>Ngân hàng</t>
  </si>
  <si>
    <t>Bùi Khánh An</t>
  </si>
  <si>
    <t>-</t>
  </si>
  <si>
    <t>20/4</t>
  </si>
  <si>
    <t>Hộ kinh doanh Sufy</t>
  </si>
  <si>
    <t>546856844</t>
  </si>
  <si>
    <t>VP bank</t>
  </si>
  <si>
    <t>Nguyễn Bùi Tâm An</t>
  </si>
  <si>
    <t>C Châu Anh</t>
  </si>
  <si>
    <t>21/4</t>
  </si>
  <si>
    <t>Nguyễn Đỗ Khánh An</t>
  </si>
  <si>
    <t>C Hương</t>
  </si>
  <si>
    <t>16/4</t>
  </si>
  <si>
    <t>Hộ kinh doanh Dư Thị Thanh Mai</t>
  </si>
  <si>
    <t>3900866868</t>
  </si>
  <si>
    <t>Trần Phúc Hà An</t>
  </si>
  <si>
    <t>C Trang</t>
  </si>
  <si>
    <t>Nguyễn Khánh An (2)</t>
  </si>
  <si>
    <t>C Thủy</t>
  </si>
  <si>
    <t>22/4</t>
  </si>
  <si>
    <t>Đỗ Nhật Bảo An</t>
  </si>
  <si>
    <t>C Giang</t>
  </si>
  <si>
    <t>24/4</t>
  </si>
  <si>
    <t>Bành Châu Anh</t>
  </si>
  <si>
    <t>C Thu</t>
  </si>
  <si>
    <t>Nguyễn Cao Đức Anh</t>
  </si>
  <si>
    <t>25/4</t>
  </si>
  <si>
    <t>0983802885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</si>
</sst>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m/d"/>
  </numFmts>
  <fonts count="3" x14ac:knownFonts="1">
    <font>
      <sz val="10"/>
      <color rgb="FF000000"/>
      <name val="Arial"/>
      <scheme val="minor"/>
    </font>
    <font>
      <b/>
      <sz val="12"/>
      <color rgb="FF000000"/>
      <name val="Times New Roman"/>
    </font>
    <font>
      <sz val="12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9" fontId="1" fillId="3" borderId="0" xfId="0" applyNumberFormat="1" applyFont="1" applyFill="1" applyAlignment="1">
      <alignment horizontal="center" vertical="center" wrapText="1"/>
    </xf>
    <xf numFmtId="3" fontId="1" fillId="2" borderId="0" xfId="0" applyNumberFormat="1" applyFont="1" applyFill="1" applyAlignment="1">
      <alignment horizontal="center" vertical="center" wrapText="1"/>
    </xf>
    <xf numFmtId="3" fontId="1" fillId="2" borderId="0" xfId="0" applyNumberFormat="1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9" fontId="1" fillId="3" borderId="1" xfId="0" applyNumberFormat="1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right" vertical="center"/>
    </xf>
    <xf numFmtId="3" fontId="2" fillId="2" borderId="1" xfId="0" applyNumberFormat="1" applyFont="1" applyFill="1" applyBorder="1" applyAlignme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3" fontId="2" fillId="2" borderId="1" xfId="0" applyNumberFormat="1" applyFont="1" applyFill="1" applyBorder="1" applyAlignment="1">
      <alignment horizontal="center" vertical="center"/>
    </xf>
    <xf numFmtId="43" fontId="2" fillId="2" borderId="0" xfId="0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2" fillId="2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65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outlinePr summaryBelow="0" summaryRight="0"/>
  </sheetPr>
  <dimension ref="A1:X11"/>
  <sheetViews>
    <sheetView tabSelected="1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P20" sqref="P20"/>
    </sheetView>
  </sheetViews>
  <sheetFormatPr defaultColWidth="12.5703125" defaultRowHeight="15.75" customHeight="1" x14ac:dyDescent="0.2"/>
  <cols>
    <col min="1" max="1" width="4.42578125" hidden="1" customWidth="1"/>
    <col min="2" max="2" width="27.85546875" customWidth="1"/>
    <col min="3" max="3" width="15.28515625" customWidth="1"/>
    <col min="4" max="4" width="12.42578125" customWidth="1"/>
    <col min="5" max="6" width="5.85546875" customWidth="1"/>
    <col min="7" max="7" width="45.5703125" customWidth="1"/>
    <col min="8" max="8" width="6.42578125" customWidth="1"/>
    <col min="9" max="9" width="8.5703125" customWidth="1"/>
    <col min="10" max="10" width="6" customWidth="1"/>
    <col min="11" max="11" width="5.7109375" customWidth="1"/>
    <col min="12" max="12" width="10.85546875" customWidth="1"/>
    <col min="13" max="13" width="10.7109375" customWidth="1"/>
    <col min="14" max="14" width="10.85546875" customWidth="1"/>
    <col min="15" max="15" width="11" customWidth="1"/>
    <col min="16" max="17" width="10.85546875" customWidth="1"/>
    <col min="18" max="18" width="10.5703125" customWidth="1"/>
    <col min="19" max="19" width="11.140625" customWidth="1"/>
    <col min="21" max="21" width="15.7109375" customWidth="1"/>
    <col min="22" max="22" width="33.7109375" customWidth="1"/>
    <col min="23" max="23" width="16.85546875" customWidth="1"/>
  </cols>
  <sheetData>
    <row r="1" spans="1:24" x14ac:dyDescent="0.2">
      <c r="A1" s="1"/>
      <c r="B1" s="1" t="s">
        <v>0</v>
      </c>
      <c r="C1" s="2"/>
      <c r="D1" s="1"/>
      <c r="E1" s="1"/>
      <c r="F1" s="1"/>
      <c r="G1" s="3"/>
      <c r="H1" s="3"/>
      <c r="I1" s="4"/>
      <c r="J1" s="4"/>
      <c r="K1" s="3"/>
      <c r="L1" s="3"/>
      <c r="M1" s="4"/>
      <c r="N1" s="4"/>
      <c r="O1" s="3"/>
      <c r="P1" s="5"/>
      <c r="Q1" s="5"/>
      <c r="R1" s="5"/>
      <c r="S1" s="5"/>
      <c r="T1" s="5"/>
      <c r="U1" s="5"/>
      <c r="V1" s="6"/>
      <c r="W1" s="2"/>
      <c r="X1" s="6"/>
    </row>
    <row r="2" spans="1:24" x14ac:dyDescent="0.2">
      <c r="A2" s="1"/>
      <c r="B2" s="1">
        <v>4</v>
      </c>
      <c r="C2" s="2"/>
      <c r="D2" s="1"/>
      <c r="E2" s="1"/>
      <c r="F2" s="1"/>
      <c r="G2" s="3"/>
      <c r="H2" s="3"/>
      <c r="I2" s="4"/>
      <c r="J2" s="4"/>
      <c r="K2" s="3"/>
      <c r="L2" s="3"/>
      <c r="M2" s="4"/>
      <c r="N2" s="4"/>
      <c r="O2" s="3"/>
      <c r="P2" s="5"/>
      <c r="Q2" s="5"/>
      <c r="R2" s="5"/>
      <c r="S2" s="5"/>
      <c r="T2" s="5"/>
      <c r="U2" s="5"/>
      <c r="V2" s="6"/>
      <c r="W2" s="2"/>
      <c r="X2" s="6"/>
    </row>
    <row r="3" spans="1:24" ht="57" customHeight="1" x14ac:dyDescent="0.2">
      <c r="A3" s="7" t="s">
        <v>1</v>
      </c>
      <c r="B3" s="7" t="s">
        <v>2</v>
      </c>
      <c r="C3" s="8" t="s">
        <v>3</v>
      </c>
      <c r="D3" s="7" t="s">
        <v>4</v>
      </c>
      <c r="E3" s="7" t="s">
        <v>5</v>
      </c>
      <c r="F3" s="7" t="s">
        <v>6</v>
      </c>
      <c r="G3" s="9" t="s">
        <v>7</v>
      </c>
      <c r="H3" s="9" t="s">
        <v>8</v>
      </c>
      <c r="I3" s="10" t="s">
        <v>9</v>
      </c>
      <c r="J3" s="10" t="s">
        <v>10</v>
      </c>
      <c r="K3" s="9" t="s">
        <v>11</v>
      </c>
      <c r="L3" s="9" t="s">
        <v>8</v>
      </c>
      <c r="M3" s="10" t="s">
        <v>9</v>
      </c>
      <c r="N3" s="10" t="s">
        <v>10</v>
      </c>
      <c r="O3" s="9" t="s">
        <v>11</v>
      </c>
      <c r="P3" s="11" t="s">
        <v>12</v>
      </c>
      <c r="Q3" s="11" t="s">
        <v>13</v>
      </c>
      <c r="R3" s="11" t="s">
        <v>14</v>
      </c>
      <c r="S3" s="11" t="s">
        <v>15</v>
      </c>
      <c r="T3" s="11" t="s">
        <v>16</v>
      </c>
      <c r="U3" s="11" t="s">
        <v>17</v>
      </c>
      <c r="V3" s="6" t="s">
        <v>18</v>
      </c>
      <c r="W3" s="2" t="s">
        <v>19</v>
      </c>
      <c r="X3" s="6" t="s">
        <v>20</v>
      </c>
    </row>
    <row r="4" spans="1:24" x14ac:dyDescent="0.2">
      <c r="A4" s="12">
        <v>1</v>
      </c>
      <c r="B4" s="13" t="s">
        <v>21</v>
      </c>
      <c r="C4" s="12"/>
      <c r="D4" s="14" t="s">
        <v>47</v>
      </c>
      <c r="E4" s="12">
        <v>2014</v>
      </c>
      <c r="F4" s="12">
        <v>6</v>
      </c>
      <c r="G4" s="15" t="str">
        <f t="shared" ref="G4:G11" si="0">B4&amp;D4&amp;" "&amp;"Hoc phi thang"&amp;$B$2</f>
        <v>Bùi Khánh An0983802885 Hoc phi thang4</v>
      </c>
      <c r="H4" s="15">
        <v>4</v>
      </c>
      <c r="I4" s="16" t="s">
        <v>22</v>
      </c>
      <c r="J4" s="16" t="s">
        <v>22</v>
      </c>
      <c r="K4" s="16" t="s">
        <v>22</v>
      </c>
      <c r="L4" s="16">
        <v>800000</v>
      </c>
      <c r="M4" s="16" t="s">
        <v>22</v>
      </c>
      <c r="N4" s="16" t="s">
        <v>22</v>
      </c>
      <c r="O4" s="16" t="s">
        <v>22</v>
      </c>
      <c r="P4" s="17">
        <f t="shared" ref="P4:P11" si="1">SUM(L4:O4)</f>
        <v>800000</v>
      </c>
      <c r="Q4" s="17">
        <v>0</v>
      </c>
      <c r="R4" s="18">
        <f t="shared" ref="R4:R11" si="2">Q4+P4</f>
        <v>800000</v>
      </c>
      <c r="S4" s="18">
        <v>800000</v>
      </c>
      <c r="T4" s="17">
        <f t="shared" ref="T4:T11" si="3">R4-S4</f>
        <v>0</v>
      </c>
      <c r="U4" s="19" t="s">
        <v>23</v>
      </c>
      <c r="V4" s="20" t="s">
        <v>24</v>
      </c>
      <c r="W4" s="21" t="s">
        <v>25</v>
      </c>
      <c r="X4" s="20" t="s">
        <v>26</v>
      </c>
    </row>
    <row r="5" spans="1:24" ht="15.75" customHeight="1" x14ac:dyDescent="0.2">
      <c r="A5" s="12">
        <v>2</v>
      </c>
      <c r="B5" s="22" t="s">
        <v>27</v>
      </c>
      <c r="C5" s="12" t="s">
        <v>28</v>
      </c>
      <c r="D5" s="14" t="s">
        <v>47</v>
      </c>
      <c r="E5" s="12">
        <v>2014</v>
      </c>
      <c r="F5" s="12">
        <v>6</v>
      </c>
      <c r="G5" s="15" t="str">
        <f t="shared" si="0"/>
        <v>Nguyễn Bùi Tâm An0983802885 Hoc phi thang4</v>
      </c>
      <c r="H5" s="15">
        <v>4</v>
      </c>
      <c r="I5" s="16">
        <v>4</v>
      </c>
      <c r="J5" s="16">
        <v>4</v>
      </c>
      <c r="K5" s="16" t="s">
        <v>22</v>
      </c>
      <c r="L5" s="16">
        <v>1000000</v>
      </c>
      <c r="M5" s="16">
        <v>800000</v>
      </c>
      <c r="N5" s="16">
        <v>800000</v>
      </c>
      <c r="O5" s="16" t="s">
        <v>22</v>
      </c>
      <c r="P5" s="17">
        <f t="shared" si="1"/>
        <v>2600000</v>
      </c>
      <c r="Q5" s="17">
        <v>0</v>
      </c>
      <c r="R5" s="18">
        <f t="shared" si="2"/>
        <v>2600000</v>
      </c>
      <c r="S5" s="18">
        <v>2600000</v>
      </c>
      <c r="T5" s="17">
        <f t="shared" si="3"/>
        <v>0</v>
      </c>
      <c r="U5" s="19" t="s">
        <v>29</v>
      </c>
      <c r="V5" s="20" t="s">
        <v>24</v>
      </c>
      <c r="W5" s="21" t="s">
        <v>25</v>
      </c>
      <c r="X5" s="20" t="s">
        <v>26</v>
      </c>
    </row>
    <row r="6" spans="1:24" ht="15.75" customHeight="1" x14ac:dyDescent="0.2">
      <c r="A6" s="12">
        <v>3</v>
      </c>
      <c r="B6" s="13" t="s">
        <v>30</v>
      </c>
      <c r="C6" s="12" t="s">
        <v>31</v>
      </c>
      <c r="D6" s="14" t="s">
        <v>47</v>
      </c>
      <c r="E6" s="12">
        <v>2014</v>
      </c>
      <c r="F6" s="12">
        <v>6</v>
      </c>
      <c r="G6" s="15" t="str">
        <f t="shared" si="0"/>
        <v>Nguyễn Đỗ Khánh An0983802885 Hoc phi thang4</v>
      </c>
      <c r="H6" s="15">
        <v>4</v>
      </c>
      <c r="I6" s="16">
        <v>4</v>
      </c>
      <c r="J6" s="16" t="s">
        <v>22</v>
      </c>
      <c r="K6" s="16" t="s">
        <v>22</v>
      </c>
      <c r="L6" s="16">
        <v>1000000</v>
      </c>
      <c r="M6" s="16">
        <v>800000</v>
      </c>
      <c r="N6" s="16" t="s">
        <v>22</v>
      </c>
      <c r="O6" s="16" t="s">
        <v>22</v>
      </c>
      <c r="P6" s="17">
        <f t="shared" si="1"/>
        <v>1800000</v>
      </c>
      <c r="Q6" s="17">
        <v>-500000</v>
      </c>
      <c r="R6" s="18">
        <f t="shared" si="2"/>
        <v>1300000</v>
      </c>
      <c r="S6" s="18">
        <v>1300000</v>
      </c>
      <c r="T6" s="17">
        <f t="shared" si="3"/>
        <v>0</v>
      </c>
      <c r="U6" s="19" t="s">
        <v>32</v>
      </c>
      <c r="V6" s="20" t="s">
        <v>33</v>
      </c>
      <c r="W6" s="21" t="s">
        <v>34</v>
      </c>
      <c r="X6" s="20" t="s">
        <v>26</v>
      </c>
    </row>
    <row r="7" spans="1:24" ht="15.75" customHeight="1" x14ac:dyDescent="0.2">
      <c r="A7" s="12">
        <v>4</v>
      </c>
      <c r="B7" s="23" t="s">
        <v>35</v>
      </c>
      <c r="C7" s="12" t="s">
        <v>36</v>
      </c>
      <c r="D7" s="14" t="s">
        <v>47</v>
      </c>
      <c r="E7" s="12">
        <v>2014</v>
      </c>
      <c r="F7" s="12">
        <v>6</v>
      </c>
      <c r="G7" s="15" t="str">
        <f t="shared" si="0"/>
        <v>Trần Phúc Hà An0983802885 Hoc phi thang4</v>
      </c>
      <c r="H7" s="15" t="s">
        <v>22</v>
      </c>
      <c r="I7" s="16">
        <v>4</v>
      </c>
      <c r="J7" s="16">
        <v>4</v>
      </c>
      <c r="K7" s="16" t="s">
        <v>22</v>
      </c>
      <c r="L7" s="16" t="s">
        <v>22</v>
      </c>
      <c r="M7" s="16">
        <v>800000</v>
      </c>
      <c r="N7" s="16">
        <v>800000</v>
      </c>
      <c r="O7" s="16" t="s">
        <v>22</v>
      </c>
      <c r="P7" s="17">
        <f t="shared" si="1"/>
        <v>1600000</v>
      </c>
      <c r="Q7" s="17">
        <v>-650000</v>
      </c>
      <c r="R7" s="18">
        <f t="shared" si="2"/>
        <v>950000</v>
      </c>
      <c r="S7" s="18">
        <v>950000</v>
      </c>
      <c r="T7" s="17">
        <f t="shared" si="3"/>
        <v>0</v>
      </c>
      <c r="U7" s="19" t="s">
        <v>23</v>
      </c>
      <c r="V7" s="20" t="s">
        <v>24</v>
      </c>
      <c r="W7" s="21" t="s">
        <v>25</v>
      </c>
      <c r="X7" s="20" t="s">
        <v>26</v>
      </c>
    </row>
    <row r="8" spans="1:24" ht="15.75" customHeight="1" x14ac:dyDescent="0.2">
      <c r="A8" s="12">
        <v>5</v>
      </c>
      <c r="B8" s="23" t="s">
        <v>37</v>
      </c>
      <c r="C8" s="12" t="s">
        <v>38</v>
      </c>
      <c r="D8" s="14" t="s">
        <v>47</v>
      </c>
      <c r="E8" s="12">
        <v>2014</v>
      </c>
      <c r="F8" s="12">
        <v>6</v>
      </c>
      <c r="G8" s="15" t="str">
        <f t="shared" si="0"/>
        <v>Nguyễn Khánh An (2)0983802885 Hoc phi thang4</v>
      </c>
      <c r="H8" s="15" t="s">
        <v>22</v>
      </c>
      <c r="I8" s="16" t="s">
        <v>22</v>
      </c>
      <c r="J8" s="16">
        <v>4</v>
      </c>
      <c r="K8" s="16" t="s">
        <v>22</v>
      </c>
      <c r="L8" s="16" t="s">
        <v>22</v>
      </c>
      <c r="M8" s="16" t="s">
        <v>22</v>
      </c>
      <c r="N8" s="16">
        <v>800000</v>
      </c>
      <c r="O8" s="16" t="s">
        <v>22</v>
      </c>
      <c r="P8" s="17">
        <f t="shared" si="1"/>
        <v>800000</v>
      </c>
      <c r="Q8" s="17">
        <v>-200000</v>
      </c>
      <c r="R8" s="18">
        <f t="shared" si="2"/>
        <v>600000</v>
      </c>
      <c r="S8" s="18">
        <v>800000</v>
      </c>
      <c r="T8" s="17">
        <f t="shared" si="3"/>
        <v>-200000</v>
      </c>
      <c r="U8" s="19" t="s">
        <v>39</v>
      </c>
      <c r="V8" s="20" t="s">
        <v>33</v>
      </c>
      <c r="W8" s="21" t="s">
        <v>34</v>
      </c>
      <c r="X8" s="20" t="s">
        <v>26</v>
      </c>
    </row>
    <row r="9" spans="1:24" ht="15.75" customHeight="1" x14ac:dyDescent="0.2">
      <c r="A9" s="12">
        <v>6</v>
      </c>
      <c r="B9" s="13" t="s">
        <v>40</v>
      </c>
      <c r="C9" s="12" t="s">
        <v>41</v>
      </c>
      <c r="D9" s="14" t="s">
        <v>47</v>
      </c>
      <c r="E9" s="12">
        <v>2014</v>
      </c>
      <c r="F9" s="12">
        <v>6</v>
      </c>
      <c r="G9" s="15" t="str">
        <f t="shared" si="0"/>
        <v>Đỗ Nhật Bảo An0983802885 Hoc phi thang4</v>
      </c>
      <c r="H9" s="15">
        <v>4</v>
      </c>
      <c r="I9" s="16">
        <v>4</v>
      </c>
      <c r="J9" s="16">
        <v>4</v>
      </c>
      <c r="K9" s="16" t="s">
        <v>22</v>
      </c>
      <c r="L9" s="16">
        <v>800000</v>
      </c>
      <c r="M9" s="16">
        <v>800000</v>
      </c>
      <c r="N9" s="16">
        <v>800000</v>
      </c>
      <c r="O9" s="16" t="s">
        <v>22</v>
      </c>
      <c r="P9" s="17">
        <f t="shared" si="1"/>
        <v>2400000</v>
      </c>
      <c r="Q9" s="17">
        <v>-400000</v>
      </c>
      <c r="R9" s="18">
        <f t="shared" si="2"/>
        <v>2000000</v>
      </c>
      <c r="S9" s="18">
        <v>2000000</v>
      </c>
      <c r="T9" s="17">
        <f t="shared" si="3"/>
        <v>0</v>
      </c>
      <c r="U9" s="19" t="s">
        <v>42</v>
      </c>
      <c r="V9" s="20" t="s">
        <v>24</v>
      </c>
      <c r="W9" s="21" t="s">
        <v>25</v>
      </c>
      <c r="X9" s="20" t="s">
        <v>26</v>
      </c>
    </row>
    <row r="10" spans="1:24" ht="15.75" customHeight="1" x14ac:dyDescent="0.2">
      <c r="A10" s="12">
        <v>7</v>
      </c>
      <c r="B10" s="13" t="s">
        <v>43</v>
      </c>
      <c r="C10" s="12" t="s">
        <v>44</v>
      </c>
      <c r="D10" s="14" t="s">
        <v>47</v>
      </c>
      <c r="E10" s="12">
        <v>2014</v>
      </c>
      <c r="F10" s="12">
        <v>6</v>
      </c>
      <c r="G10" s="15" t="str">
        <f t="shared" si="0"/>
        <v>Bành Châu Anh0983802885 Hoc phi thang4</v>
      </c>
      <c r="H10" s="15">
        <v>4</v>
      </c>
      <c r="I10" s="16">
        <v>4</v>
      </c>
      <c r="J10" s="16">
        <v>4</v>
      </c>
      <c r="K10" s="16" t="s">
        <v>22</v>
      </c>
      <c r="L10" s="16">
        <v>1000000</v>
      </c>
      <c r="M10" s="16">
        <v>800000</v>
      </c>
      <c r="N10" s="16">
        <v>800000</v>
      </c>
      <c r="O10" s="16" t="s">
        <v>22</v>
      </c>
      <c r="P10" s="17">
        <f t="shared" si="1"/>
        <v>2600000</v>
      </c>
      <c r="Q10" s="17">
        <v>0</v>
      </c>
      <c r="R10" s="18">
        <f t="shared" si="2"/>
        <v>2600000</v>
      </c>
      <c r="S10" s="18">
        <v>2600000</v>
      </c>
      <c r="T10" s="17">
        <f t="shared" si="3"/>
        <v>0</v>
      </c>
      <c r="U10" s="24">
        <v>46117</v>
      </c>
      <c r="V10" s="20" t="s">
        <v>24</v>
      </c>
      <c r="W10" s="21" t="s">
        <v>25</v>
      </c>
      <c r="X10" s="20" t="s">
        <v>26</v>
      </c>
    </row>
    <row r="11" spans="1:24" ht="15.75" customHeight="1" x14ac:dyDescent="0.2">
      <c r="A11" s="12">
        <v>8</v>
      </c>
      <c r="B11" s="23" t="s">
        <v>45</v>
      </c>
      <c r="C11" s="12" t="s">
        <v>31</v>
      </c>
      <c r="D11" s="14" t="s">
        <v>47</v>
      </c>
      <c r="E11" s="12">
        <v>2014</v>
      </c>
      <c r="F11" s="12">
        <v>6</v>
      </c>
      <c r="G11" s="15" t="str">
        <f t="shared" si="0"/>
        <v>Nguyễn Cao Đức Anh0983802885 Hoc phi thang4</v>
      </c>
      <c r="H11" s="15" t="s">
        <v>22</v>
      </c>
      <c r="I11" s="16" t="s">
        <v>22</v>
      </c>
      <c r="J11" s="16">
        <v>4</v>
      </c>
      <c r="K11" s="16" t="s">
        <v>22</v>
      </c>
      <c r="L11" s="16" t="s">
        <v>22</v>
      </c>
      <c r="M11" s="16" t="s">
        <v>22</v>
      </c>
      <c r="N11" s="16">
        <v>800000</v>
      </c>
      <c r="O11" s="16" t="s">
        <v>22</v>
      </c>
      <c r="P11" s="17">
        <f t="shared" si="1"/>
        <v>800000</v>
      </c>
      <c r="Q11" s="17">
        <v>-200000</v>
      </c>
      <c r="R11" s="18">
        <f t="shared" si="2"/>
        <v>600000</v>
      </c>
      <c r="S11" s="18">
        <v>800000</v>
      </c>
      <c r="T11" s="17">
        <f t="shared" si="3"/>
        <v>-200000</v>
      </c>
      <c r="U11" s="19" t="s">
        <v>46</v>
      </c>
      <c r="V11" s="20" t="s">
        <v>33</v>
      </c>
      <c r="W11" s="21" t="s">
        <v>34</v>
      </c>
      <c r="X11" s="20" t="s">
        <v>26</v>
      </c>
    </row>
  </sheetData>
  <autoFilter ref="A3:X11" xr:uid="{00000000-0009-0000-0000-000000000000}"/>
  <conditionalFormatting sqref="B1:B11">
    <cfRule type="expression" dxfId="1" priority="1">
      <formula>COUNTIF(B:B,B1)&gt;1</formula>
    </cfRule>
  </conditionalFormatting>
  <conditionalFormatting sqref="D1:D11">
    <cfRule type="expression" dxfId="0" priority="2">
      <formula>COUNTIF(D:D,D1)&gt;1</formula>
    </cfRule>
  </conditionalFormatting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 THCS+THPT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Tieu Cong. Thang</cp:lastModifiedBy>
  <dcterms:modified xsi:type="dcterms:W3CDTF">2026-05-09T03:39:02Z</dcterms:modified>
</cp:coreProperties>
</file>